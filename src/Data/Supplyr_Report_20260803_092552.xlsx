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orh\Desktop\RPA PROJECT\Data\"/>
    </mc:Choice>
  </mc:AlternateContent>
  <xr:revisionPtr revIDLastSave="0" documentId="13_ncr:1_{18F3150C-17A6-4088-A74F-60145087F86A}" xr6:coauthVersionLast="47" xr6:coauthVersionMax="47" xr10:uidLastSave="{00000000-0000-0000-0000-000000000000}"/>
  <bookViews>
    <workbookView xWindow="-120" yWindow="-120" windowWidth="29040" windowHeight="15720" xr2:uid="{D06C3DF5-8661-4A01-A447-452FF8328925}"/>
  </bookViews>
  <sheets>
    <sheet name="Summary" sheetId="6" r:id="rId1"/>
    <sheet name="Reorders" sheetId="5" r:id="rId2"/>
    <sheet name="LowStock" sheetId="4" r:id="rId3"/>
    <sheet name="SupplierOptions" sheetId="3" r:id="rId4"/>
    <sheet name="ReviewRequired" sheetId="2" r:id="rId5"/>
    <sheet name="Sheet1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5" i="6" l="1"/>
  <c r="B14" i="6"/>
  <c r="B13" i="6"/>
  <c r="B12" i="6"/>
</calcChain>
</file>

<file path=xl/sharedStrings.xml><?xml version="1.0" encoding="utf-8"?>
<sst xmlns="http://schemas.openxmlformats.org/spreadsheetml/2006/main" count="295" uniqueCount="77">
  <si>
    <t>ProductID</t>
  </si>
  <si>
    <t>ProductName</t>
  </si>
  <si>
    <t>CurrentStock</t>
  </si>
  <si>
    <t>MinimumStock</t>
  </si>
  <si>
    <t>ReorderQty</t>
  </si>
  <si>
    <t>Priority</t>
  </si>
  <si>
    <t>ChosenSupplier</t>
  </si>
  <si>
    <t>SupplierEmail</t>
  </si>
  <si>
    <t>SupplierPrice</t>
  </si>
  <si>
    <t>EstimatedCost</t>
  </si>
  <si>
    <t>UnitPriceText</t>
  </si>
  <si>
    <t>LineTotalText</t>
  </si>
  <si>
    <t>DeliveryDays</t>
  </si>
  <si>
    <t>Status</t>
  </si>
  <si>
    <t>Note</t>
  </si>
  <si>
    <t>Biscuits Assorted (box)</t>
  </si>
  <si>
    <t>HIGH</t>
  </si>
  <si>
    <t>ValueMart Distributors</t>
  </si>
  <si>
    <t>REVIEW</t>
  </si>
  <si>
    <t>NO SUPPLIER EMAIL - cannot send purchase order to ValueMart Distributors</t>
  </si>
  <si>
    <t>Frozen Chicken Wings 1kg</t>
  </si>
  <si>
    <t>BudgetWhole Distributors</t>
  </si>
  <si>
    <t>NO SUPPLIER EMAIL - cannot send purchase order to BudgetWhole Distributors</t>
  </si>
  <si>
    <t>SupplierName</t>
  </si>
  <si>
    <t>AvailableQty</t>
  </si>
  <si>
    <t>PrimeSnacks Pte Ltd</t>
  </si>
  <si>
    <t>sales@primesnacks.example.com</t>
  </si>
  <si>
    <t>DailyGoods Supply Co</t>
  </si>
  <si>
    <t>reorder@dailygoods.example.com</t>
  </si>
  <si>
    <t>MegaBulk Supplies</t>
  </si>
  <si>
    <t>orders@megabulk.example.com</t>
  </si>
  <si>
    <t>IslandFresh Pte Ltd</t>
  </si>
  <si>
    <t>supply@islandfresh.example.com</t>
  </si>
  <si>
    <t>TopShelf Trading Co</t>
  </si>
  <si>
    <t>sales@topshelf.example.com</t>
  </si>
  <si>
    <t>FreshFarm Wholesale</t>
  </si>
  <si>
    <t>orders@freshfarm.example.com</t>
  </si>
  <si>
    <t>QuickStock Traders</t>
  </si>
  <si>
    <t>hello@quickstock.example.com</t>
  </si>
  <si>
    <t>EcoGoods Wholesale</t>
  </si>
  <si>
    <t>eco@ecogoods.example.com</t>
  </si>
  <si>
    <t>UnitPrice</t>
  </si>
  <si>
    <t>Instant Noodles (carton)</t>
  </si>
  <si>
    <t>MEDIUM</t>
  </si>
  <si>
    <t>Canned Tuna (24 tin)</t>
  </si>
  <si>
    <t>Rice 5kg bag</t>
  </si>
  <si>
    <t>Detergent Powder 3kg</t>
  </si>
  <si>
    <t>Eggs (tray of 30)</t>
  </si>
  <si>
    <t>Coffee Powder 500g</t>
  </si>
  <si>
    <t>LOW</t>
  </si>
  <si>
    <t>Cooking Oil 5L</t>
  </si>
  <si>
    <t>Soy Sauce 1L</t>
  </si>
  <si>
    <t>Canned Sardines (12 tin)</t>
  </si>
  <si>
    <t>Paper Towels (6 roll)</t>
  </si>
  <si>
    <t>Dishwashing Liquid 1L</t>
  </si>
  <si>
    <t>Trash Bags (50 pack)</t>
  </si>
  <si>
    <t>Condensed Milk (24 tin)</t>
  </si>
  <si>
    <t>Tomato Ketchup 500ml</t>
  </si>
  <si>
    <t>Chilli Sauce 500ml</t>
  </si>
  <si>
    <t>Laundry Softener 2L</t>
  </si>
  <si>
    <t>Hand Soap 500ml</t>
  </si>
  <si>
    <t>Face Tissue Box (5 pack)</t>
  </si>
  <si>
    <t>READY</t>
  </si>
  <si>
    <t>SUPPLYR AUTOMATED REORDER REPORT - 03 Aug 2026 09:26</t>
  </si>
  <si>
    <t>Metric</t>
  </si>
  <si>
    <t>Value</t>
  </si>
  <si>
    <t>Products checked</t>
  </si>
  <si>
    <t>Low stock found</t>
  </si>
  <si>
    <t>Records skipped</t>
  </si>
  <si>
    <t>Suppliers contacted</t>
  </si>
  <si>
    <t>Purchase orders generated</t>
  </si>
  <si>
    <t>Purchase orders emailed</t>
  </si>
  <si>
    <t>Items needing manual review</t>
  </si>
  <si>
    <t>Total committed spend</t>
  </si>
  <si>
    <t>High priority items</t>
  </si>
  <si>
    <t>Needing review (Excel check)</t>
  </si>
  <si>
    <t>Largest single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</si>
</sst>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C7971-21C5-44A2-895D-CAEEE84CDE8F}">
  <dimension ref="A1:B15"/>
  <sheetViews>
    <sheetView tabSelected="1" workbookViewId="0"/>
  </sheetViews>
  <sheetFormatPr defaultRowHeight="15" x14ac:dyDescent="0.25"/>
  <sheetData>
    <row r="1" spans="1:2" x14ac:dyDescent="0.25">
      <c r="A1" t="s">
        <v>63</v>
      </c>
    </row>
    <row r="3" spans="1:2" x14ac:dyDescent="0.25">
      <c r="A3" t="s">
        <v>64</v>
      </c>
      <c r="B3" t="s">
        <v>65</v>
      </c>
    </row>
    <row r="4" spans="1:2" x14ac:dyDescent="0.25">
      <c r="A4" t="s">
        <v>66</v>
      </c>
      <c r="B4">
        <v>50</v>
      </c>
    </row>
    <row r="5" spans="1:2" x14ac:dyDescent="0.25">
      <c r="A5" t="s">
        <v>67</v>
      </c>
      <c r="B5">
        <v>20</v>
      </c>
    </row>
    <row r="6" spans="1:2" x14ac:dyDescent="0.25">
      <c r="A6" t="s">
        <v>68</v>
      </c>
      <c r="B6">
        <v>5</v>
      </c>
    </row>
    <row r="7" spans="1:2" x14ac:dyDescent="0.25">
      <c r="A7" t="s">
        <v>69</v>
      </c>
      <c r="B7">
        <v>6</v>
      </c>
    </row>
    <row r="8" spans="1:2" x14ac:dyDescent="0.25">
      <c r="A8" t="s">
        <v>70</v>
      </c>
      <c r="B8">
        <v>6</v>
      </c>
    </row>
    <row r="9" spans="1:2" x14ac:dyDescent="0.25">
      <c r="A9" t="s">
        <v>71</v>
      </c>
      <c r="B9">
        <v>6</v>
      </c>
    </row>
    <row r="10" spans="1:2" x14ac:dyDescent="0.25">
      <c r="A10" t="s">
        <v>72</v>
      </c>
      <c r="B10">
        <v>2</v>
      </c>
    </row>
    <row r="12" spans="1:2" x14ac:dyDescent="0.25">
      <c r="A12" t="s">
        <v>73</v>
      </c>
      <c r="B12">
        <f>SUMIF(Reorders!N:N,"READY",Reorders!J:J)</f>
        <v>4729.5</v>
      </c>
    </row>
    <row r="13" spans="1:2" x14ac:dyDescent="0.25">
      <c r="A13" t="s">
        <v>74</v>
      </c>
      <c r="B13">
        <f>COUNTIF(Reorders!F:F,"HIGH")</f>
        <v>8</v>
      </c>
    </row>
    <row r="14" spans="1:2" x14ac:dyDescent="0.25">
      <c r="A14" t="s">
        <v>75</v>
      </c>
      <c r="B14">
        <f>COUNTIF(Reorders!N:N,"REVIEW")</f>
        <v>2</v>
      </c>
    </row>
    <row r="15" spans="1:2" x14ac:dyDescent="0.25">
      <c r="A15" t="s">
        <v>76</v>
      </c>
      <c r="B15">
        <f>MAX(Reorders!J:J)</f>
        <v>710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AB198-3C84-4098-B931-7909C90D8ACB}">
  <dimension ref="A1:O21"/>
  <sheetViews>
    <sheetView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101</v>
      </c>
      <c r="B2" t="s">
        <v>42</v>
      </c>
      <c r="C2">
        <v>12</v>
      </c>
      <c r="D2">
        <v>40</v>
      </c>
      <c r="E2">
        <v>60</v>
      </c>
      <c r="F2" t="s">
        <v>43</v>
      </c>
      <c r="G2" t="s">
        <v>27</v>
      </c>
      <c r="H2" t="s">
        <v>28</v>
      </c>
      <c r="I2">
        <v>7.8</v>
      </c>
      <c r="J2">
        <v>468</v>
      </c>
      <c r="K2" s="1">
        <v>7.8</v>
      </c>
      <c r="L2" s="1">
        <v>468</v>
      </c>
      <c r="M2">
        <v>2</v>
      </c>
      <c r="N2" t="s">
        <v>62</v>
      </c>
    </row>
    <row r="3" spans="1:15" x14ac:dyDescent="0.25">
      <c r="A3">
        <v>102</v>
      </c>
      <c r="B3" t="s">
        <v>44</v>
      </c>
      <c r="C3">
        <v>5</v>
      </c>
      <c r="D3">
        <v>30</v>
      </c>
      <c r="E3">
        <v>50</v>
      </c>
      <c r="F3" t="s">
        <v>16</v>
      </c>
      <c r="G3" t="s">
        <v>31</v>
      </c>
      <c r="H3" t="s">
        <v>32</v>
      </c>
      <c r="I3">
        <v>14.2</v>
      </c>
      <c r="J3">
        <v>710</v>
      </c>
      <c r="K3" s="1">
        <v>14.2</v>
      </c>
      <c r="L3" s="1">
        <v>710</v>
      </c>
      <c r="M3">
        <v>3</v>
      </c>
      <c r="N3" t="s">
        <v>62</v>
      </c>
    </row>
    <row r="4" spans="1:15" x14ac:dyDescent="0.25">
      <c r="A4">
        <v>103</v>
      </c>
      <c r="B4" t="s">
        <v>45</v>
      </c>
      <c r="C4">
        <v>35</v>
      </c>
      <c r="D4">
        <v>60</v>
      </c>
      <c r="E4">
        <v>30</v>
      </c>
      <c r="F4" t="s">
        <v>43</v>
      </c>
      <c r="G4" t="s">
        <v>35</v>
      </c>
      <c r="H4" t="s">
        <v>36</v>
      </c>
      <c r="I4">
        <v>12.9</v>
      </c>
      <c r="J4">
        <v>387</v>
      </c>
      <c r="K4" s="1">
        <v>12.9</v>
      </c>
      <c r="L4" s="1">
        <v>387</v>
      </c>
      <c r="M4">
        <v>3</v>
      </c>
      <c r="N4" t="s">
        <v>62</v>
      </c>
    </row>
    <row r="5" spans="1:15" x14ac:dyDescent="0.25">
      <c r="A5">
        <v>104</v>
      </c>
      <c r="B5" t="s">
        <v>15</v>
      </c>
      <c r="C5">
        <v>0</v>
      </c>
      <c r="D5">
        <v>20</v>
      </c>
      <c r="E5">
        <v>35</v>
      </c>
      <c r="F5" t="s">
        <v>16</v>
      </c>
      <c r="G5" t="s">
        <v>17</v>
      </c>
      <c r="I5">
        <v>9.4</v>
      </c>
      <c r="J5">
        <v>329</v>
      </c>
      <c r="K5" s="1">
        <v>9.4</v>
      </c>
      <c r="L5" s="1">
        <v>329</v>
      </c>
      <c r="M5">
        <v>4</v>
      </c>
      <c r="N5" t="s">
        <v>18</v>
      </c>
      <c r="O5" t="s">
        <v>19</v>
      </c>
    </row>
    <row r="6" spans="1:15" x14ac:dyDescent="0.25">
      <c r="A6">
        <v>105</v>
      </c>
      <c r="B6" t="s">
        <v>46</v>
      </c>
      <c r="C6">
        <v>18</v>
      </c>
      <c r="D6">
        <v>30</v>
      </c>
      <c r="E6">
        <v>25</v>
      </c>
      <c r="F6" t="s">
        <v>43</v>
      </c>
      <c r="G6" t="s">
        <v>33</v>
      </c>
      <c r="H6" t="s">
        <v>34</v>
      </c>
      <c r="I6">
        <v>10.8</v>
      </c>
      <c r="J6">
        <v>270</v>
      </c>
      <c r="K6" s="1">
        <v>10.8</v>
      </c>
      <c r="L6" s="1">
        <v>270</v>
      </c>
      <c r="M6">
        <v>4</v>
      </c>
      <c r="N6" t="s">
        <v>62</v>
      </c>
    </row>
    <row r="7" spans="1:15" x14ac:dyDescent="0.25">
      <c r="A7">
        <v>106</v>
      </c>
      <c r="B7" t="s">
        <v>47</v>
      </c>
      <c r="C7">
        <v>8</v>
      </c>
      <c r="D7">
        <v>35</v>
      </c>
      <c r="E7">
        <v>50</v>
      </c>
      <c r="F7" t="s">
        <v>16</v>
      </c>
      <c r="G7" t="s">
        <v>35</v>
      </c>
      <c r="H7" t="s">
        <v>36</v>
      </c>
      <c r="I7">
        <v>6.1</v>
      </c>
      <c r="J7">
        <v>305</v>
      </c>
      <c r="K7" s="1">
        <v>6.1</v>
      </c>
      <c r="L7" s="1">
        <v>305</v>
      </c>
      <c r="M7">
        <v>3</v>
      </c>
      <c r="N7" t="s">
        <v>62</v>
      </c>
    </row>
    <row r="8" spans="1:15" x14ac:dyDescent="0.25">
      <c r="A8">
        <v>107</v>
      </c>
      <c r="B8" t="s">
        <v>48</v>
      </c>
      <c r="C8">
        <v>28</v>
      </c>
      <c r="D8">
        <v>30</v>
      </c>
      <c r="E8">
        <v>20</v>
      </c>
      <c r="F8" t="s">
        <v>49</v>
      </c>
      <c r="G8" t="s">
        <v>39</v>
      </c>
      <c r="H8" t="s">
        <v>40</v>
      </c>
      <c r="I8">
        <v>12.9</v>
      </c>
      <c r="J8">
        <v>258</v>
      </c>
      <c r="K8" s="1">
        <v>12.9</v>
      </c>
      <c r="L8" s="1">
        <v>258</v>
      </c>
      <c r="M8">
        <v>5</v>
      </c>
      <c r="N8" t="s">
        <v>62</v>
      </c>
    </row>
    <row r="9" spans="1:15" x14ac:dyDescent="0.25">
      <c r="A9">
        <v>108</v>
      </c>
      <c r="B9" t="s">
        <v>50</v>
      </c>
      <c r="C9">
        <v>3</v>
      </c>
      <c r="D9">
        <v>25</v>
      </c>
      <c r="E9">
        <v>40</v>
      </c>
      <c r="F9" t="s">
        <v>16</v>
      </c>
      <c r="G9" t="s">
        <v>35</v>
      </c>
      <c r="H9" t="s">
        <v>36</v>
      </c>
      <c r="I9">
        <v>9.5</v>
      </c>
      <c r="J9">
        <v>380</v>
      </c>
      <c r="K9" s="1">
        <v>9.5</v>
      </c>
      <c r="L9" s="1">
        <v>380</v>
      </c>
      <c r="M9">
        <v>3</v>
      </c>
      <c r="N9" t="s">
        <v>62</v>
      </c>
    </row>
    <row r="10" spans="1:15" x14ac:dyDescent="0.25">
      <c r="A10">
        <v>109</v>
      </c>
      <c r="B10" t="s">
        <v>51</v>
      </c>
      <c r="C10">
        <v>10</v>
      </c>
      <c r="D10">
        <v>20</v>
      </c>
      <c r="E10">
        <v>30</v>
      </c>
      <c r="F10" t="s">
        <v>43</v>
      </c>
      <c r="G10" t="s">
        <v>27</v>
      </c>
      <c r="H10" t="s">
        <v>28</v>
      </c>
      <c r="I10">
        <v>4.5</v>
      </c>
      <c r="J10">
        <v>135</v>
      </c>
      <c r="K10" s="1">
        <v>4.5</v>
      </c>
      <c r="L10" s="1">
        <v>135</v>
      </c>
      <c r="M10">
        <v>2</v>
      </c>
      <c r="N10" t="s">
        <v>62</v>
      </c>
    </row>
    <row r="11" spans="1:15" x14ac:dyDescent="0.25">
      <c r="A11">
        <v>110</v>
      </c>
      <c r="B11" t="s">
        <v>52</v>
      </c>
      <c r="C11">
        <v>2</v>
      </c>
      <c r="D11">
        <v>15</v>
      </c>
      <c r="E11">
        <v>25</v>
      </c>
      <c r="F11" t="s">
        <v>16</v>
      </c>
      <c r="G11" t="s">
        <v>31</v>
      </c>
      <c r="H11" t="s">
        <v>32</v>
      </c>
      <c r="I11">
        <v>12.3</v>
      </c>
      <c r="J11">
        <v>307.5</v>
      </c>
      <c r="K11" s="1">
        <v>12.3</v>
      </c>
      <c r="L11" s="1">
        <v>307.5</v>
      </c>
      <c r="M11">
        <v>3</v>
      </c>
      <c r="N11" t="s">
        <v>62</v>
      </c>
    </row>
    <row r="12" spans="1:15" x14ac:dyDescent="0.25">
      <c r="A12">
        <v>111</v>
      </c>
      <c r="B12" t="s">
        <v>53</v>
      </c>
      <c r="C12">
        <v>14</v>
      </c>
      <c r="D12">
        <v>25</v>
      </c>
      <c r="E12">
        <v>20</v>
      </c>
      <c r="F12" t="s">
        <v>43</v>
      </c>
      <c r="G12" t="s">
        <v>29</v>
      </c>
      <c r="H12" t="s">
        <v>30</v>
      </c>
      <c r="I12">
        <v>5.5</v>
      </c>
      <c r="J12">
        <v>110</v>
      </c>
      <c r="K12" s="1">
        <v>5.5</v>
      </c>
      <c r="L12" s="1">
        <v>110</v>
      </c>
      <c r="M12">
        <v>1</v>
      </c>
      <c r="N12" t="s">
        <v>62</v>
      </c>
    </row>
    <row r="13" spans="1:15" x14ac:dyDescent="0.25">
      <c r="A13">
        <v>112</v>
      </c>
      <c r="B13" t="s">
        <v>54</v>
      </c>
      <c r="C13">
        <v>6</v>
      </c>
      <c r="D13">
        <v>20</v>
      </c>
      <c r="E13">
        <v>30</v>
      </c>
      <c r="F13" t="s">
        <v>43</v>
      </c>
      <c r="G13" t="s">
        <v>27</v>
      </c>
      <c r="H13" t="s">
        <v>28</v>
      </c>
      <c r="I13">
        <v>3.5</v>
      </c>
      <c r="J13">
        <v>105</v>
      </c>
      <c r="K13" s="1">
        <v>3.5</v>
      </c>
      <c r="L13" s="1">
        <v>105</v>
      </c>
      <c r="M13">
        <v>2</v>
      </c>
      <c r="N13" t="s">
        <v>62</v>
      </c>
    </row>
    <row r="14" spans="1:15" x14ac:dyDescent="0.25">
      <c r="A14">
        <v>113</v>
      </c>
      <c r="B14" t="s">
        <v>55</v>
      </c>
      <c r="C14">
        <v>1</v>
      </c>
      <c r="D14">
        <v>10</v>
      </c>
      <c r="E14">
        <v>20</v>
      </c>
      <c r="F14" t="s">
        <v>16</v>
      </c>
      <c r="G14" t="s">
        <v>29</v>
      </c>
      <c r="H14" t="s">
        <v>30</v>
      </c>
      <c r="I14">
        <v>7.2</v>
      </c>
      <c r="J14">
        <v>144</v>
      </c>
      <c r="K14" s="1">
        <v>7.2</v>
      </c>
      <c r="L14" s="1">
        <v>144</v>
      </c>
      <c r="M14">
        <v>1</v>
      </c>
      <c r="N14" t="s">
        <v>62</v>
      </c>
    </row>
    <row r="15" spans="1:15" x14ac:dyDescent="0.25">
      <c r="A15">
        <v>114</v>
      </c>
      <c r="B15" t="s">
        <v>56</v>
      </c>
      <c r="C15">
        <v>22</v>
      </c>
      <c r="D15">
        <v>40</v>
      </c>
      <c r="E15">
        <v>35</v>
      </c>
      <c r="F15" t="s">
        <v>43</v>
      </c>
      <c r="G15" t="s">
        <v>31</v>
      </c>
      <c r="H15" t="s">
        <v>32</v>
      </c>
      <c r="I15">
        <v>16</v>
      </c>
      <c r="J15">
        <v>560</v>
      </c>
      <c r="K15" s="1">
        <v>16</v>
      </c>
      <c r="L15" s="1">
        <v>560</v>
      </c>
      <c r="M15">
        <v>3</v>
      </c>
      <c r="N15" t="s">
        <v>62</v>
      </c>
    </row>
    <row r="16" spans="1:15" x14ac:dyDescent="0.25">
      <c r="A16">
        <v>115</v>
      </c>
      <c r="B16" t="s">
        <v>20</v>
      </c>
      <c r="C16">
        <v>0</v>
      </c>
      <c r="D16">
        <v>30</v>
      </c>
      <c r="E16">
        <v>40</v>
      </c>
      <c r="F16" t="s">
        <v>16</v>
      </c>
      <c r="G16" t="s">
        <v>21</v>
      </c>
      <c r="I16">
        <v>11</v>
      </c>
      <c r="J16">
        <v>440</v>
      </c>
      <c r="K16" s="1">
        <v>11</v>
      </c>
      <c r="L16" s="1">
        <v>440</v>
      </c>
      <c r="M16">
        <v>6</v>
      </c>
      <c r="N16" t="s">
        <v>18</v>
      </c>
      <c r="O16" t="s">
        <v>22</v>
      </c>
    </row>
    <row r="17" spans="1:14" x14ac:dyDescent="0.25">
      <c r="A17">
        <v>116</v>
      </c>
      <c r="B17" t="s">
        <v>57</v>
      </c>
      <c r="C17">
        <v>15</v>
      </c>
      <c r="D17">
        <v>20</v>
      </c>
      <c r="E17">
        <v>25</v>
      </c>
      <c r="F17" t="s">
        <v>49</v>
      </c>
      <c r="G17" t="s">
        <v>27</v>
      </c>
      <c r="H17" t="s">
        <v>28</v>
      </c>
      <c r="I17">
        <v>3.2</v>
      </c>
      <c r="J17">
        <v>80</v>
      </c>
      <c r="K17" s="1">
        <v>3.2</v>
      </c>
      <c r="L17" s="1">
        <v>80</v>
      </c>
      <c r="M17">
        <v>2</v>
      </c>
      <c r="N17" t="s">
        <v>62</v>
      </c>
    </row>
    <row r="18" spans="1:14" x14ac:dyDescent="0.25">
      <c r="A18">
        <v>117</v>
      </c>
      <c r="B18" t="s">
        <v>58</v>
      </c>
      <c r="C18">
        <v>11</v>
      </c>
      <c r="D18">
        <v>18</v>
      </c>
      <c r="E18">
        <v>20</v>
      </c>
      <c r="F18" t="s">
        <v>49</v>
      </c>
      <c r="G18" t="s">
        <v>27</v>
      </c>
      <c r="H18" t="s">
        <v>28</v>
      </c>
      <c r="I18">
        <v>2.9</v>
      </c>
      <c r="J18">
        <v>58</v>
      </c>
      <c r="K18" s="1">
        <v>2.9</v>
      </c>
      <c r="L18" s="1">
        <v>58</v>
      </c>
      <c r="M18">
        <v>2</v>
      </c>
      <c r="N18" t="s">
        <v>62</v>
      </c>
    </row>
    <row r="19" spans="1:14" x14ac:dyDescent="0.25">
      <c r="A19">
        <v>118</v>
      </c>
      <c r="B19" t="s">
        <v>59</v>
      </c>
      <c r="C19">
        <v>7</v>
      </c>
      <c r="D19">
        <v>15</v>
      </c>
      <c r="E19">
        <v>25</v>
      </c>
      <c r="F19" t="s">
        <v>43</v>
      </c>
      <c r="G19" t="s">
        <v>33</v>
      </c>
      <c r="H19" t="s">
        <v>34</v>
      </c>
      <c r="I19">
        <v>8.6</v>
      </c>
      <c r="J19">
        <v>215</v>
      </c>
      <c r="K19" s="1">
        <v>8.6</v>
      </c>
      <c r="L19" s="1">
        <v>215</v>
      </c>
      <c r="M19">
        <v>4</v>
      </c>
      <c r="N19" t="s">
        <v>62</v>
      </c>
    </row>
    <row r="20" spans="1:14" x14ac:dyDescent="0.25">
      <c r="A20">
        <v>119</v>
      </c>
      <c r="B20" t="s">
        <v>60</v>
      </c>
      <c r="C20">
        <v>4</v>
      </c>
      <c r="D20">
        <v>20</v>
      </c>
      <c r="E20">
        <v>30</v>
      </c>
      <c r="F20" t="s">
        <v>16</v>
      </c>
      <c r="G20" t="s">
        <v>27</v>
      </c>
      <c r="H20" t="s">
        <v>28</v>
      </c>
      <c r="I20">
        <v>3.9</v>
      </c>
      <c r="J20">
        <v>117</v>
      </c>
      <c r="K20" s="1">
        <v>3.9</v>
      </c>
      <c r="L20" s="1">
        <v>117</v>
      </c>
      <c r="M20">
        <v>2</v>
      </c>
      <c r="N20" t="s">
        <v>62</v>
      </c>
    </row>
    <row r="21" spans="1:14" x14ac:dyDescent="0.25">
      <c r="A21">
        <v>120</v>
      </c>
      <c r="B21" t="s">
        <v>61</v>
      </c>
      <c r="C21">
        <v>9</v>
      </c>
      <c r="D21">
        <v>25</v>
      </c>
      <c r="E21">
        <v>20</v>
      </c>
      <c r="F21" t="s">
        <v>43</v>
      </c>
      <c r="G21" t="s">
        <v>29</v>
      </c>
      <c r="H21" t="s">
        <v>30</v>
      </c>
      <c r="I21">
        <v>6</v>
      </c>
      <c r="J21">
        <v>120</v>
      </c>
      <c r="K21" s="1">
        <v>6</v>
      </c>
      <c r="L21" s="1">
        <v>120</v>
      </c>
      <c r="M21">
        <v>1</v>
      </c>
      <c r="N21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72EE0-6FE7-4D2F-AC66-2C28163CD071}">
  <dimension ref="A1:G21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41</v>
      </c>
      <c r="G1" t="s">
        <v>5</v>
      </c>
    </row>
    <row r="2" spans="1:7" x14ac:dyDescent="0.25">
      <c r="A2">
        <v>101</v>
      </c>
      <c r="B2" t="s">
        <v>42</v>
      </c>
      <c r="C2">
        <v>12</v>
      </c>
      <c r="D2">
        <v>40</v>
      </c>
      <c r="E2">
        <v>60</v>
      </c>
      <c r="F2">
        <v>8.5</v>
      </c>
      <c r="G2" t="s">
        <v>43</v>
      </c>
    </row>
    <row r="3" spans="1:7" x14ac:dyDescent="0.25">
      <c r="A3">
        <v>102</v>
      </c>
      <c r="B3" t="s">
        <v>44</v>
      </c>
      <c r="C3">
        <v>5</v>
      </c>
      <c r="D3">
        <v>30</v>
      </c>
      <c r="E3">
        <v>50</v>
      </c>
      <c r="F3">
        <v>15</v>
      </c>
      <c r="G3" t="s">
        <v>16</v>
      </c>
    </row>
    <row r="4" spans="1:7" x14ac:dyDescent="0.25">
      <c r="A4">
        <v>103</v>
      </c>
      <c r="B4" t="s">
        <v>45</v>
      </c>
      <c r="C4">
        <v>35</v>
      </c>
      <c r="D4">
        <v>60</v>
      </c>
      <c r="E4">
        <v>30</v>
      </c>
      <c r="F4">
        <v>12.9</v>
      </c>
      <c r="G4" t="s">
        <v>43</v>
      </c>
    </row>
    <row r="5" spans="1:7" x14ac:dyDescent="0.25">
      <c r="A5">
        <v>104</v>
      </c>
      <c r="B5" t="s">
        <v>15</v>
      </c>
      <c r="C5">
        <v>0</v>
      </c>
      <c r="D5">
        <v>20</v>
      </c>
      <c r="E5">
        <v>35</v>
      </c>
      <c r="F5">
        <v>9.4</v>
      </c>
      <c r="G5" t="s">
        <v>16</v>
      </c>
    </row>
    <row r="6" spans="1:7" x14ac:dyDescent="0.25">
      <c r="A6">
        <v>105</v>
      </c>
      <c r="B6" t="s">
        <v>46</v>
      </c>
      <c r="C6">
        <v>18</v>
      </c>
      <c r="D6">
        <v>30</v>
      </c>
      <c r="E6">
        <v>25</v>
      </c>
      <c r="F6">
        <v>11.2</v>
      </c>
      <c r="G6" t="s">
        <v>43</v>
      </c>
    </row>
    <row r="7" spans="1:7" x14ac:dyDescent="0.25">
      <c r="A7">
        <v>106</v>
      </c>
      <c r="B7" t="s">
        <v>47</v>
      </c>
      <c r="C7">
        <v>8</v>
      </c>
      <c r="D7">
        <v>35</v>
      </c>
      <c r="E7">
        <v>50</v>
      </c>
      <c r="F7">
        <v>6.1</v>
      </c>
      <c r="G7" t="s">
        <v>16</v>
      </c>
    </row>
    <row r="8" spans="1:7" x14ac:dyDescent="0.25">
      <c r="A8">
        <v>107</v>
      </c>
      <c r="B8" t="s">
        <v>48</v>
      </c>
      <c r="C8">
        <v>28</v>
      </c>
      <c r="D8">
        <v>30</v>
      </c>
      <c r="E8">
        <v>20</v>
      </c>
      <c r="F8">
        <v>13.5</v>
      </c>
      <c r="G8" t="s">
        <v>49</v>
      </c>
    </row>
    <row r="9" spans="1:7" x14ac:dyDescent="0.25">
      <c r="A9">
        <v>108</v>
      </c>
      <c r="B9" t="s">
        <v>50</v>
      </c>
      <c r="C9">
        <v>3</v>
      </c>
      <c r="D9">
        <v>25</v>
      </c>
      <c r="E9">
        <v>40</v>
      </c>
      <c r="F9">
        <v>9.8000000000000007</v>
      </c>
      <c r="G9" t="s">
        <v>16</v>
      </c>
    </row>
    <row r="10" spans="1:7" x14ac:dyDescent="0.25">
      <c r="A10">
        <v>109</v>
      </c>
      <c r="B10" t="s">
        <v>51</v>
      </c>
      <c r="C10">
        <v>10</v>
      </c>
      <c r="D10">
        <v>20</v>
      </c>
      <c r="E10">
        <v>30</v>
      </c>
      <c r="F10">
        <v>4.5</v>
      </c>
      <c r="G10" t="s">
        <v>43</v>
      </c>
    </row>
    <row r="11" spans="1:7" x14ac:dyDescent="0.25">
      <c r="A11">
        <v>110</v>
      </c>
      <c r="B11" t="s">
        <v>52</v>
      </c>
      <c r="C11">
        <v>2</v>
      </c>
      <c r="D11">
        <v>15</v>
      </c>
      <c r="E11">
        <v>25</v>
      </c>
      <c r="F11">
        <v>12.3</v>
      </c>
      <c r="G11" t="s">
        <v>16</v>
      </c>
    </row>
    <row r="12" spans="1:7" x14ac:dyDescent="0.25">
      <c r="A12">
        <v>111</v>
      </c>
      <c r="B12" t="s">
        <v>53</v>
      </c>
      <c r="C12">
        <v>14</v>
      </c>
      <c r="D12">
        <v>25</v>
      </c>
      <c r="E12">
        <v>20</v>
      </c>
      <c r="F12">
        <v>5.9</v>
      </c>
      <c r="G12" t="s">
        <v>43</v>
      </c>
    </row>
    <row r="13" spans="1:7" x14ac:dyDescent="0.25">
      <c r="A13">
        <v>112</v>
      </c>
      <c r="B13" t="s">
        <v>54</v>
      </c>
      <c r="C13">
        <v>6</v>
      </c>
      <c r="D13">
        <v>20</v>
      </c>
      <c r="E13">
        <v>30</v>
      </c>
      <c r="F13">
        <v>3.8</v>
      </c>
      <c r="G13" t="s">
        <v>43</v>
      </c>
    </row>
    <row r="14" spans="1:7" x14ac:dyDescent="0.25">
      <c r="A14">
        <v>113</v>
      </c>
      <c r="B14" t="s">
        <v>55</v>
      </c>
      <c r="C14">
        <v>1</v>
      </c>
      <c r="D14">
        <v>10</v>
      </c>
      <c r="E14">
        <v>20</v>
      </c>
      <c r="F14">
        <v>7.2</v>
      </c>
      <c r="G14" t="s">
        <v>16</v>
      </c>
    </row>
    <row r="15" spans="1:7" x14ac:dyDescent="0.25">
      <c r="A15">
        <v>114</v>
      </c>
      <c r="B15" t="s">
        <v>56</v>
      </c>
      <c r="C15">
        <v>22</v>
      </c>
      <c r="D15">
        <v>40</v>
      </c>
      <c r="E15">
        <v>35</v>
      </c>
      <c r="F15">
        <v>16.5</v>
      </c>
      <c r="G15" t="s">
        <v>43</v>
      </c>
    </row>
    <row r="16" spans="1:7" x14ac:dyDescent="0.25">
      <c r="A16">
        <v>115</v>
      </c>
      <c r="B16" t="s">
        <v>20</v>
      </c>
      <c r="C16">
        <v>0</v>
      </c>
      <c r="D16">
        <v>30</v>
      </c>
      <c r="E16">
        <v>40</v>
      </c>
      <c r="F16">
        <v>11</v>
      </c>
      <c r="G16" t="s">
        <v>16</v>
      </c>
    </row>
    <row r="17" spans="1:7" x14ac:dyDescent="0.25">
      <c r="A17">
        <v>116</v>
      </c>
      <c r="B17" t="s">
        <v>57</v>
      </c>
      <c r="C17">
        <v>15</v>
      </c>
      <c r="D17">
        <v>20</v>
      </c>
      <c r="E17">
        <v>25</v>
      </c>
      <c r="F17">
        <v>3.2</v>
      </c>
      <c r="G17" t="s">
        <v>49</v>
      </c>
    </row>
    <row r="18" spans="1:7" x14ac:dyDescent="0.25">
      <c r="A18">
        <v>117</v>
      </c>
      <c r="B18" t="s">
        <v>58</v>
      </c>
      <c r="C18">
        <v>11</v>
      </c>
      <c r="D18">
        <v>18</v>
      </c>
      <c r="E18">
        <v>20</v>
      </c>
      <c r="F18">
        <v>2.9</v>
      </c>
      <c r="G18" t="s">
        <v>49</v>
      </c>
    </row>
    <row r="19" spans="1:7" x14ac:dyDescent="0.25">
      <c r="A19">
        <v>118</v>
      </c>
      <c r="B19" t="s">
        <v>59</v>
      </c>
      <c r="C19">
        <v>7</v>
      </c>
      <c r="D19">
        <v>15</v>
      </c>
      <c r="E19">
        <v>25</v>
      </c>
      <c r="F19">
        <v>8.6</v>
      </c>
      <c r="G19" t="s">
        <v>43</v>
      </c>
    </row>
    <row r="20" spans="1:7" x14ac:dyDescent="0.25">
      <c r="A20">
        <v>119</v>
      </c>
      <c r="B20" t="s">
        <v>60</v>
      </c>
      <c r="C20">
        <v>4</v>
      </c>
      <c r="D20">
        <v>20</v>
      </c>
      <c r="E20">
        <v>30</v>
      </c>
      <c r="F20">
        <v>4.0999999999999996</v>
      </c>
      <c r="G20" t="s">
        <v>16</v>
      </c>
    </row>
    <row r="21" spans="1:7" x14ac:dyDescent="0.25">
      <c r="A21">
        <v>120</v>
      </c>
      <c r="B21" t="s">
        <v>61</v>
      </c>
      <c r="C21">
        <v>9</v>
      </c>
      <c r="D21">
        <v>25</v>
      </c>
      <c r="E21">
        <v>20</v>
      </c>
      <c r="F21">
        <v>6.4</v>
      </c>
      <c r="G21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7BE55-9516-426B-AF0B-0EA42D7A29EE}">
  <dimension ref="A1:F47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23</v>
      </c>
      <c r="C1" t="s">
        <v>7</v>
      </c>
      <c r="D1" t="s">
        <v>8</v>
      </c>
      <c r="E1" t="s">
        <v>24</v>
      </c>
      <c r="F1" t="s">
        <v>12</v>
      </c>
    </row>
    <row r="2" spans="1:6" x14ac:dyDescent="0.25">
      <c r="A2">
        <v>101</v>
      </c>
      <c r="B2" t="s">
        <v>25</v>
      </c>
      <c r="C2" t="s">
        <v>26</v>
      </c>
      <c r="D2">
        <v>8.5</v>
      </c>
      <c r="E2">
        <v>300</v>
      </c>
      <c r="F2">
        <v>5</v>
      </c>
    </row>
    <row r="3" spans="1:6" x14ac:dyDescent="0.25">
      <c r="A3">
        <v>101</v>
      </c>
      <c r="B3" t="s">
        <v>27</v>
      </c>
      <c r="C3" t="s">
        <v>28</v>
      </c>
      <c r="D3">
        <v>7.8</v>
      </c>
      <c r="E3">
        <v>800</v>
      </c>
      <c r="F3">
        <v>2</v>
      </c>
    </row>
    <row r="4" spans="1:6" x14ac:dyDescent="0.25">
      <c r="A4">
        <v>101</v>
      </c>
      <c r="B4" t="s">
        <v>29</v>
      </c>
      <c r="C4" t="s">
        <v>30</v>
      </c>
      <c r="D4">
        <v>9.1999999999999993</v>
      </c>
      <c r="E4">
        <v>1000</v>
      </c>
      <c r="F4">
        <v>1</v>
      </c>
    </row>
    <row r="5" spans="1:6" x14ac:dyDescent="0.25">
      <c r="A5">
        <v>102</v>
      </c>
      <c r="B5" t="s">
        <v>27</v>
      </c>
      <c r="C5" t="s">
        <v>28</v>
      </c>
      <c r="D5">
        <v>15</v>
      </c>
      <c r="E5">
        <v>800</v>
      </c>
      <c r="F5">
        <v>2</v>
      </c>
    </row>
    <row r="6" spans="1:6" x14ac:dyDescent="0.25">
      <c r="A6">
        <v>102</v>
      </c>
      <c r="B6" t="s">
        <v>31</v>
      </c>
      <c r="C6" t="s">
        <v>32</v>
      </c>
      <c r="D6">
        <v>14.2</v>
      </c>
      <c r="E6">
        <v>600</v>
      </c>
      <c r="F6">
        <v>3</v>
      </c>
    </row>
    <row r="7" spans="1:6" x14ac:dyDescent="0.25">
      <c r="A7">
        <v>102</v>
      </c>
      <c r="B7" t="s">
        <v>33</v>
      </c>
      <c r="C7" t="s">
        <v>34</v>
      </c>
      <c r="D7">
        <v>15.8</v>
      </c>
      <c r="E7">
        <v>450</v>
      </c>
      <c r="F7">
        <v>4</v>
      </c>
    </row>
    <row r="8" spans="1:6" x14ac:dyDescent="0.25">
      <c r="A8">
        <v>103</v>
      </c>
      <c r="B8" t="s">
        <v>35</v>
      </c>
      <c r="C8" t="s">
        <v>36</v>
      </c>
      <c r="D8">
        <v>12.9</v>
      </c>
      <c r="E8">
        <v>500</v>
      </c>
      <c r="F8">
        <v>3</v>
      </c>
    </row>
    <row r="9" spans="1:6" x14ac:dyDescent="0.25">
      <c r="A9">
        <v>103</v>
      </c>
      <c r="B9" t="s">
        <v>29</v>
      </c>
      <c r="C9" t="s">
        <v>30</v>
      </c>
      <c r="D9">
        <v>13.5</v>
      </c>
      <c r="E9">
        <v>1000</v>
      </c>
      <c r="F9">
        <v>1</v>
      </c>
    </row>
    <row r="10" spans="1:6" x14ac:dyDescent="0.25">
      <c r="A10">
        <v>104</v>
      </c>
      <c r="B10" t="s">
        <v>17</v>
      </c>
      <c r="D10">
        <v>9.4</v>
      </c>
      <c r="E10">
        <v>400</v>
      </c>
      <c r="F10">
        <v>4</v>
      </c>
    </row>
    <row r="11" spans="1:6" x14ac:dyDescent="0.25">
      <c r="A11">
        <v>104</v>
      </c>
      <c r="B11" t="s">
        <v>21</v>
      </c>
      <c r="D11">
        <v>10</v>
      </c>
      <c r="E11">
        <v>350</v>
      </c>
      <c r="F11">
        <v>6</v>
      </c>
    </row>
    <row r="12" spans="1:6" x14ac:dyDescent="0.25">
      <c r="A12">
        <v>105</v>
      </c>
      <c r="B12" t="s">
        <v>37</v>
      </c>
      <c r="C12" t="s">
        <v>38</v>
      </c>
      <c r="D12">
        <v>11.2</v>
      </c>
      <c r="E12">
        <v>150</v>
      </c>
      <c r="F12">
        <v>7</v>
      </c>
    </row>
    <row r="13" spans="1:6" x14ac:dyDescent="0.25">
      <c r="A13">
        <v>105</v>
      </c>
      <c r="B13" t="s">
        <v>33</v>
      </c>
      <c r="C13" t="s">
        <v>34</v>
      </c>
      <c r="D13">
        <v>10.8</v>
      </c>
      <c r="E13">
        <v>450</v>
      </c>
      <c r="F13">
        <v>4</v>
      </c>
    </row>
    <row r="14" spans="1:6" x14ac:dyDescent="0.25">
      <c r="A14">
        <v>105</v>
      </c>
      <c r="B14" t="s">
        <v>39</v>
      </c>
      <c r="C14" t="s">
        <v>40</v>
      </c>
      <c r="D14">
        <v>11.5</v>
      </c>
      <c r="E14">
        <v>200</v>
      </c>
      <c r="F14">
        <v>5</v>
      </c>
    </row>
    <row r="15" spans="1:6" x14ac:dyDescent="0.25">
      <c r="A15">
        <v>106</v>
      </c>
      <c r="B15" t="s">
        <v>35</v>
      </c>
      <c r="C15" t="s">
        <v>36</v>
      </c>
      <c r="D15">
        <v>6.1</v>
      </c>
      <c r="E15">
        <v>500</v>
      </c>
      <c r="F15">
        <v>3</v>
      </c>
    </row>
    <row r="16" spans="1:6" x14ac:dyDescent="0.25">
      <c r="A16">
        <v>106</v>
      </c>
      <c r="B16" t="s">
        <v>31</v>
      </c>
      <c r="C16" t="s">
        <v>32</v>
      </c>
      <c r="D16">
        <v>6.5</v>
      </c>
      <c r="E16">
        <v>600</v>
      </c>
      <c r="F16">
        <v>3</v>
      </c>
    </row>
    <row r="17" spans="1:6" x14ac:dyDescent="0.25">
      <c r="A17">
        <v>107</v>
      </c>
      <c r="B17" t="s">
        <v>25</v>
      </c>
      <c r="C17" t="s">
        <v>26</v>
      </c>
      <c r="D17">
        <v>13.5</v>
      </c>
      <c r="E17">
        <v>300</v>
      </c>
      <c r="F17">
        <v>5</v>
      </c>
    </row>
    <row r="18" spans="1:6" x14ac:dyDescent="0.25">
      <c r="A18">
        <v>107</v>
      </c>
      <c r="B18" t="s">
        <v>39</v>
      </c>
      <c r="C18" t="s">
        <v>40</v>
      </c>
      <c r="D18">
        <v>12.9</v>
      </c>
      <c r="E18">
        <v>200</v>
      </c>
      <c r="F18">
        <v>5</v>
      </c>
    </row>
    <row r="19" spans="1:6" x14ac:dyDescent="0.25">
      <c r="A19">
        <v>108</v>
      </c>
      <c r="B19" t="s">
        <v>35</v>
      </c>
      <c r="C19" t="s">
        <v>36</v>
      </c>
      <c r="D19">
        <v>9.5</v>
      </c>
      <c r="E19">
        <v>500</v>
      </c>
      <c r="F19">
        <v>3</v>
      </c>
    </row>
    <row r="20" spans="1:6" x14ac:dyDescent="0.25">
      <c r="A20">
        <v>108</v>
      </c>
      <c r="B20" t="s">
        <v>27</v>
      </c>
      <c r="C20" t="s">
        <v>28</v>
      </c>
      <c r="D20">
        <v>10.199999999999999</v>
      </c>
      <c r="E20">
        <v>800</v>
      </c>
      <c r="F20">
        <v>2</v>
      </c>
    </row>
    <row r="21" spans="1:6" x14ac:dyDescent="0.25">
      <c r="A21">
        <v>108</v>
      </c>
      <c r="B21" t="s">
        <v>29</v>
      </c>
      <c r="C21" t="s">
        <v>30</v>
      </c>
      <c r="D21">
        <v>9.8000000000000007</v>
      </c>
      <c r="E21">
        <v>1000</v>
      </c>
      <c r="F21">
        <v>1</v>
      </c>
    </row>
    <row r="22" spans="1:6" x14ac:dyDescent="0.25">
      <c r="A22">
        <v>109</v>
      </c>
      <c r="B22" t="s">
        <v>27</v>
      </c>
      <c r="C22" t="s">
        <v>28</v>
      </c>
      <c r="D22">
        <v>4.5</v>
      </c>
      <c r="E22">
        <v>800</v>
      </c>
      <c r="F22">
        <v>2</v>
      </c>
    </row>
    <row r="23" spans="1:6" x14ac:dyDescent="0.25">
      <c r="A23">
        <v>109</v>
      </c>
      <c r="B23" t="s">
        <v>33</v>
      </c>
      <c r="C23" t="s">
        <v>34</v>
      </c>
      <c r="D23">
        <v>4.8</v>
      </c>
      <c r="E23">
        <v>450</v>
      </c>
      <c r="F23">
        <v>4</v>
      </c>
    </row>
    <row r="24" spans="1:6" x14ac:dyDescent="0.25">
      <c r="A24">
        <v>110</v>
      </c>
      <c r="B24" t="s">
        <v>25</v>
      </c>
      <c r="C24" t="s">
        <v>26</v>
      </c>
      <c r="D24">
        <v>12.8</v>
      </c>
      <c r="E24">
        <v>300</v>
      </c>
      <c r="F24">
        <v>5</v>
      </c>
    </row>
    <row r="25" spans="1:6" x14ac:dyDescent="0.25">
      <c r="A25">
        <v>110</v>
      </c>
      <c r="B25" t="s">
        <v>31</v>
      </c>
      <c r="C25" t="s">
        <v>32</v>
      </c>
      <c r="D25">
        <v>12.3</v>
      </c>
      <c r="E25">
        <v>600</v>
      </c>
      <c r="F25">
        <v>3</v>
      </c>
    </row>
    <row r="26" spans="1:6" x14ac:dyDescent="0.25">
      <c r="A26">
        <v>111</v>
      </c>
      <c r="B26" t="s">
        <v>29</v>
      </c>
      <c r="C26" t="s">
        <v>30</v>
      </c>
      <c r="D26">
        <v>5.5</v>
      </c>
      <c r="E26">
        <v>1000</v>
      </c>
      <c r="F26">
        <v>1</v>
      </c>
    </row>
    <row r="27" spans="1:6" x14ac:dyDescent="0.25">
      <c r="A27">
        <v>111</v>
      </c>
      <c r="B27" t="s">
        <v>33</v>
      </c>
      <c r="C27" t="s">
        <v>34</v>
      </c>
      <c r="D27">
        <v>5.9</v>
      </c>
      <c r="E27">
        <v>450</v>
      </c>
      <c r="F27">
        <v>4</v>
      </c>
    </row>
    <row r="28" spans="1:6" x14ac:dyDescent="0.25">
      <c r="A28">
        <v>112</v>
      </c>
      <c r="B28" t="s">
        <v>27</v>
      </c>
      <c r="C28" t="s">
        <v>28</v>
      </c>
      <c r="D28">
        <v>3.5</v>
      </c>
      <c r="E28">
        <v>800</v>
      </c>
      <c r="F28">
        <v>2</v>
      </c>
    </row>
    <row r="29" spans="1:6" x14ac:dyDescent="0.25">
      <c r="A29">
        <v>112</v>
      </c>
      <c r="B29" t="s">
        <v>37</v>
      </c>
      <c r="C29" t="s">
        <v>38</v>
      </c>
      <c r="D29">
        <v>4</v>
      </c>
      <c r="E29">
        <v>150</v>
      </c>
      <c r="F29">
        <v>7</v>
      </c>
    </row>
    <row r="30" spans="1:6" x14ac:dyDescent="0.25">
      <c r="A30">
        <v>112</v>
      </c>
      <c r="B30" t="s">
        <v>39</v>
      </c>
      <c r="C30" t="s">
        <v>40</v>
      </c>
      <c r="D30">
        <v>3.8</v>
      </c>
      <c r="E30">
        <v>200</v>
      </c>
      <c r="F30">
        <v>5</v>
      </c>
    </row>
    <row r="31" spans="1:6" x14ac:dyDescent="0.25">
      <c r="A31">
        <v>113</v>
      </c>
      <c r="B31" t="s">
        <v>29</v>
      </c>
      <c r="C31" t="s">
        <v>30</v>
      </c>
      <c r="D31">
        <v>7.2</v>
      </c>
      <c r="E31">
        <v>1000</v>
      </c>
      <c r="F31">
        <v>1</v>
      </c>
    </row>
    <row r="32" spans="1:6" x14ac:dyDescent="0.25">
      <c r="A32">
        <v>113</v>
      </c>
      <c r="B32" t="s">
        <v>33</v>
      </c>
      <c r="C32" t="s">
        <v>34</v>
      </c>
      <c r="D32">
        <v>7.5</v>
      </c>
      <c r="E32">
        <v>450</v>
      </c>
      <c r="F32">
        <v>4</v>
      </c>
    </row>
    <row r="33" spans="1:6" x14ac:dyDescent="0.25">
      <c r="A33">
        <v>114</v>
      </c>
      <c r="B33" t="s">
        <v>25</v>
      </c>
      <c r="C33" t="s">
        <v>26</v>
      </c>
      <c r="D33">
        <v>16.5</v>
      </c>
      <c r="E33">
        <v>300</v>
      </c>
      <c r="F33">
        <v>5</v>
      </c>
    </row>
    <row r="34" spans="1:6" x14ac:dyDescent="0.25">
      <c r="A34">
        <v>114</v>
      </c>
      <c r="B34" t="s">
        <v>31</v>
      </c>
      <c r="C34" t="s">
        <v>32</v>
      </c>
      <c r="D34">
        <v>16</v>
      </c>
      <c r="E34">
        <v>600</v>
      </c>
      <c r="F34">
        <v>3</v>
      </c>
    </row>
    <row r="35" spans="1:6" x14ac:dyDescent="0.25">
      <c r="A35">
        <v>115</v>
      </c>
      <c r="B35" t="s">
        <v>17</v>
      </c>
      <c r="D35">
        <v>11.8</v>
      </c>
      <c r="E35">
        <v>400</v>
      </c>
      <c r="F35">
        <v>4</v>
      </c>
    </row>
    <row r="36" spans="1:6" x14ac:dyDescent="0.25">
      <c r="A36">
        <v>115</v>
      </c>
      <c r="B36" t="s">
        <v>21</v>
      </c>
      <c r="D36">
        <v>11</v>
      </c>
      <c r="E36">
        <v>350</v>
      </c>
      <c r="F36">
        <v>6</v>
      </c>
    </row>
    <row r="37" spans="1:6" x14ac:dyDescent="0.25">
      <c r="A37">
        <v>116</v>
      </c>
      <c r="B37" t="s">
        <v>27</v>
      </c>
      <c r="C37" t="s">
        <v>28</v>
      </c>
      <c r="D37">
        <v>3.2</v>
      </c>
      <c r="E37">
        <v>800</v>
      </c>
      <c r="F37">
        <v>2</v>
      </c>
    </row>
    <row r="38" spans="1:6" x14ac:dyDescent="0.25">
      <c r="A38">
        <v>116</v>
      </c>
      <c r="B38" t="s">
        <v>39</v>
      </c>
      <c r="C38" t="s">
        <v>40</v>
      </c>
      <c r="D38">
        <v>3.4</v>
      </c>
      <c r="E38">
        <v>200</v>
      </c>
      <c r="F38">
        <v>5</v>
      </c>
    </row>
    <row r="39" spans="1:6" x14ac:dyDescent="0.25">
      <c r="A39">
        <v>117</v>
      </c>
      <c r="B39" t="s">
        <v>35</v>
      </c>
      <c r="C39" t="s">
        <v>36</v>
      </c>
      <c r="D39">
        <v>3.1</v>
      </c>
      <c r="E39">
        <v>500</v>
      </c>
      <c r="F39">
        <v>3</v>
      </c>
    </row>
    <row r="40" spans="1:6" x14ac:dyDescent="0.25">
      <c r="A40">
        <v>117</v>
      </c>
      <c r="B40" t="s">
        <v>27</v>
      </c>
      <c r="C40" t="s">
        <v>28</v>
      </c>
      <c r="D40">
        <v>2.9</v>
      </c>
      <c r="E40">
        <v>800</v>
      </c>
      <c r="F40">
        <v>2</v>
      </c>
    </row>
    <row r="41" spans="1:6" x14ac:dyDescent="0.25">
      <c r="A41">
        <v>118</v>
      </c>
      <c r="B41" t="s">
        <v>37</v>
      </c>
      <c r="C41" t="s">
        <v>38</v>
      </c>
      <c r="D41">
        <v>8.9</v>
      </c>
      <c r="E41">
        <v>150</v>
      </c>
      <c r="F41">
        <v>7</v>
      </c>
    </row>
    <row r="42" spans="1:6" x14ac:dyDescent="0.25">
      <c r="A42">
        <v>118</v>
      </c>
      <c r="B42" t="s">
        <v>33</v>
      </c>
      <c r="C42" t="s">
        <v>34</v>
      </c>
      <c r="D42">
        <v>8.6</v>
      </c>
      <c r="E42">
        <v>450</v>
      </c>
      <c r="F42">
        <v>4</v>
      </c>
    </row>
    <row r="43" spans="1:6" x14ac:dyDescent="0.25">
      <c r="A43">
        <v>119</v>
      </c>
      <c r="B43" t="s">
        <v>27</v>
      </c>
      <c r="C43" t="s">
        <v>28</v>
      </c>
      <c r="D43">
        <v>3.9</v>
      </c>
      <c r="E43">
        <v>800</v>
      </c>
      <c r="F43">
        <v>2</v>
      </c>
    </row>
    <row r="44" spans="1:6" x14ac:dyDescent="0.25">
      <c r="A44">
        <v>119</v>
      </c>
      <c r="B44" t="s">
        <v>31</v>
      </c>
      <c r="C44" t="s">
        <v>32</v>
      </c>
      <c r="D44">
        <v>4.0999999999999996</v>
      </c>
      <c r="E44">
        <v>600</v>
      </c>
      <c r="F44">
        <v>3</v>
      </c>
    </row>
    <row r="45" spans="1:6" x14ac:dyDescent="0.25">
      <c r="A45">
        <v>119</v>
      </c>
      <c r="B45" t="s">
        <v>39</v>
      </c>
      <c r="C45" t="s">
        <v>40</v>
      </c>
      <c r="D45">
        <v>4.3</v>
      </c>
      <c r="E45">
        <v>200</v>
      </c>
      <c r="F45">
        <v>5</v>
      </c>
    </row>
    <row r="46" spans="1:6" x14ac:dyDescent="0.25">
      <c r="A46">
        <v>120</v>
      </c>
      <c r="B46" t="s">
        <v>29</v>
      </c>
      <c r="C46" t="s">
        <v>30</v>
      </c>
      <c r="D46">
        <v>6</v>
      </c>
      <c r="E46">
        <v>1000</v>
      </c>
      <c r="F46">
        <v>1</v>
      </c>
    </row>
    <row r="47" spans="1:6" x14ac:dyDescent="0.25">
      <c r="A47">
        <v>120</v>
      </c>
      <c r="B47" t="s">
        <v>39</v>
      </c>
      <c r="C47" t="s">
        <v>40</v>
      </c>
      <c r="D47">
        <v>6.4</v>
      </c>
      <c r="E47">
        <v>200</v>
      </c>
      <c r="F47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51096-907C-4926-A642-B086048E0926}">
  <dimension ref="A1:O3"/>
  <sheetViews>
    <sheetView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104</v>
      </c>
      <c r="B2" t="s">
        <v>15</v>
      </c>
      <c r="C2">
        <v>0</v>
      </c>
      <c r="D2">
        <v>20</v>
      </c>
      <c r="E2">
        <v>35</v>
      </c>
      <c r="F2" t="s">
        <v>16</v>
      </c>
      <c r="G2" t="s">
        <v>17</v>
      </c>
      <c r="I2">
        <v>9.4</v>
      </c>
      <c r="J2">
        <v>329</v>
      </c>
      <c r="K2" s="1">
        <v>9.4</v>
      </c>
      <c r="L2" s="1">
        <v>329</v>
      </c>
      <c r="M2">
        <v>4</v>
      </c>
      <c r="N2" t="s">
        <v>18</v>
      </c>
      <c r="O2" t="s">
        <v>19</v>
      </c>
    </row>
    <row r="3" spans="1:15" x14ac:dyDescent="0.25">
      <c r="A3">
        <v>115</v>
      </c>
      <c r="B3" t="s">
        <v>20</v>
      </c>
      <c r="C3">
        <v>0</v>
      </c>
      <c r="D3">
        <v>30</v>
      </c>
      <c r="E3">
        <v>40</v>
      </c>
      <c r="F3" t="s">
        <v>16</v>
      </c>
      <c r="G3" t="s">
        <v>21</v>
      </c>
      <c r="I3">
        <v>11</v>
      </c>
      <c r="J3">
        <v>440</v>
      </c>
      <c r="K3" s="1">
        <v>11</v>
      </c>
      <c r="L3" s="1">
        <v>440</v>
      </c>
      <c r="M3">
        <v>6</v>
      </c>
      <c r="N3" t="s">
        <v>18</v>
      </c>
      <c r="O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8079F-8B98-471C-84DE-0DFF7F1AF8D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Reorders</vt:lpstr>
      <vt:lpstr>LowStock</vt:lpstr>
      <vt:lpstr>SupplierOptions</vt:lpstr>
      <vt:lpstr>ReviewRequired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HANNAN NOOR</dc:creator>
  <cp:lastModifiedBy>MOHAMMED HANNAN NOOR</cp:lastModifiedBy>
  <dcterms:created xsi:type="dcterms:W3CDTF">2026-08-03T01:26:23Z</dcterms:created>
  <dcterms:modified xsi:type="dcterms:W3CDTF">2026-08-03T01:26:25Z</dcterms:modified>
</cp:coreProperties>
</file>